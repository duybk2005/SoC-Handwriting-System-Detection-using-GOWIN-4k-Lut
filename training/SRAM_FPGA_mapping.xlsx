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RAM FPGA Mapping" sheetId="1" state="visible" r:id="rId1"/>
    <sheet xmlns:r="http://schemas.openxmlformats.org/officeDocument/2006/relationships" name="Resource" sheetId="2" state="visible" r:id="rId2"/>
    <sheet xmlns:r="http://schemas.openxmlformats.org/officeDocument/2006/relationships" name="Ghi ch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3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3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3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3" fontId="0" fillId="6" borderId="1" applyAlignment="1" pivotButton="0" quotePrefix="0" xfId="0">
      <alignment vertical="center" wrapText="1"/>
    </xf>
    <xf numFmtId="0" fontId="2" fillId="0" borderId="0" pivotButton="0" quotePrefix="0" xfId="0"/>
    <xf numFmtId="3" fontId="2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horizontal="left" vertical="center"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1" customWidth="1" min="4" max="4"/>
    <col width="11" customWidth="1" min="5" max="5"/>
    <col width="22" customWidth="1" min="6" max="6"/>
    <col width="13" customWidth="1" min="7" max="7"/>
    <col width="30" customWidth="1" min="8" max="8"/>
    <col width="70" customWidth="1" min="9" max="9"/>
  </cols>
  <sheetData>
    <row r="1">
      <c r="A1" s="1" t="inlineStr">
        <is>
          <t>Addr Start</t>
        </is>
      </c>
      <c r="B1" s="1" t="inlineStr">
        <is>
          <t>Addr End</t>
        </is>
      </c>
      <c r="C1" s="1" t="inlineStr">
        <is>
          <t>Size (Bytes)</t>
        </is>
      </c>
      <c r="D1" s="1" t="inlineStr">
        <is>
          <t>Word Start</t>
        </is>
      </c>
      <c r="E1" s="1" t="inlineStr">
        <is>
          <t>Word End</t>
        </is>
      </c>
      <c r="F1" s="1" t="inlineStr">
        <is>
          <t>Ten vung</t>
        </is>
      </c>
      <c r="G1" s="1" t="inlineStr">
        <is>
          <t>Kieu du lieu</t>
        </is>
      </c>
      <c r="H1" s="1" t="inlineStr">
        <is>
          <t>Owner</t>
        </is>
      </c>
      <c r="I1" s="1" t="inlineStr">
        <is>
          <t>Chu thich</t>
        </is>
      </c>
    </row>
    <row r="2">
      <c r="A2" s="2" t="inlineStr">
        <is>
          <t>0x0000</t>
        </is>
      </c>
      <c r="B2" s="2" t="inlineStr">
        <is>
          <t>0x01BF</t>
        </is>
      </c>
      <c r="C2" s="3" t="n">
        <v>448</v>
      </c>
      <c r="D2" s="2" t="n">
        <v>0</v>
      </c>
      <c r="E2" s="2" t="n">
        <v>111</v>
      </c>
      <c r="F2" s="2" t="inlineStr">
        <is>
          <t>Band Buffer 4x112</t>
        </is>
      </c>
      <c r="G2" s="2" t="inlineStr">
        <is>
          <t>UINT8</t>
        </is>
      </c>
      <c r="H2" s="2" t="inlineStr">
        <is>
          <t>RTL (camera) ghi / MCU doc</t>
        </is>
      </c>
      <c r="I2" s="2" t="inlineStr">
        <is>
          <t>Buffer 4 hang x 112 pixel, 1 byte/pixel; word[r*28+c] = 4 pixel cua hang r, cot 4c..4c+3</t>
        </is>
      </c>
    </row>
    <row r="3">
      <c r="A3" s="4" t="inlineStr">
        <is>
          <t>0x01C0</t>
        </is>
      </c>
      <c r="B3" s="4" t="inlineStr">
        <is>
          <t>0x04CF</t>
        </is>
      </c>
      <c r="C3" s="5" t="n">
        <v>784</v>
      </c>
      <c r="D3" s="4" t="n">
        <v>112</v>
      </c>
      <c r="E3" s="4" t="n">
        <v>307</v>
      </c>
      <c r="F3" s="4" t="inlineStr">
        <is>
          <t>image[784]</t>
        </is>
      </c>
      <c r="G3" s="4" t="inlineStr">
        <is>
          <t>UINT8</t>
        </is>
      </c>
      <c r="H3" s="4" t="inlineStr">
        <is>
          <t>MCU ghi / RTL doc</t>
        </is>
      </c>
      <c r="I3" s="4" t="inlineStr">
        <is>
          <t>Input AI sau resize 28x28 flatten; pixel (y,x) o byte y*28+x</t>
        </is>
      </c>
    </row>
    <row r="4">
      <c r="A4" s="6" t="inlineStr">
        <is>
          <t>0x04D0</t>
        </is>
      </c>
      <c r="B4" s="6" t="inlineStr">
        <is>
          <t>0x35CF</t>
        </is>
      </c>
      <c r="C4" s="7" t="n">
        <v>12544</v>
      </c>
      <c r="D4" s="6" t="n">
        <v>308</v>
      </c>
      <c r="E4" s="6" t="n">
        <v>3443</v>
      </c>
      <c r="F4" s="6" t="inlineStr">
        <is>
          <t>W1[16][784]</t>
        </is>
      </c>
      <c r="G4" s="6" t="inlineStr">
        <is>
          <t>INT8</t>
        </is>
      </c>
      <c r="H4" s="6" t="inlineStr">
        <is>
          <t>Boot load 1 lan</t>
        </is>
      </c>
      <c r="I4" s="6" t="inlineStr">
        <is>
          <t>Weights lop FC1 - luu column-major</t>
        </is>
      </c>
    </row>
    <row r="5">
      <c r="A5" s="6" t="inlineStr">
        <is>
          <t>0x35D0</t>
        </is>
      </c>
      <c r="B5" s="6" t="inlineStr">
        <is>
          <t>0x360F</t>
        </is>
      </c>
      <c r="C5" s="7" t="n">
        <v>64</v>
      </c>
      <c r="D5" s="6" t="n">
        <v>3444</v>
      </c>
      <c r="E5" s="6" t="n">
        <v>3459</v>
      </c>
      <c r="F5" s="6" t="inlineStr">
        <is>
          <t>B1[16]</t>
        </is>
      </c>
      <c r="G5" s="6" t="inlineStr">
        <is>
          <t>INT32</t>
        </is>
      </c>
      <c r="H5" s="6" t="inlineStr">
        <is>
          <t>Boot load 1 lan</t>
        </is>
      </c>
      <c r="I5" s="6" t="inlineStr">
        <is>
          <t>Bias lop FC1</t>
        </is>
      </c>
    </row>
    <row r="6">
      <c r="A6" s="6" t="inlineStr">
        <is>
          <t>0x3610</t>
        </is>
      </c>
      <c r="B6" s="6" t="inlineStr">
        <is>
          <t>0x36AF</t>
        </is>
      </c>
      <c r="C6" s="7" t="n">
        <v>160</v>
      </c>
      <c r="D6" s="6" t="n">
        <v>3460</v>
      </c>
      <c r="E6" s="6" t="n">
        <v>3499</v>
      </c>
      <c r="F6" s="6" t="inlineStr">
        <is>
          <t>W2[10][16]</t>
        </is>
      </c>
      <c r="G6" s="6" t="inlineStr">
        <is>
          <t>INT8</t>
        </is>
      </c>
      <c r="H6" s="6" t="inlineStr">
        <is>
          <t>Boot load 1 lan</t>
        </is>
      </c>
      <c r="I6" s="6" t="inlineStr">
        <is>
          <t>Weights lop FC2</t>
        </is>
      </c>
    </row>
    <row r="7">
      <c r="A7" s="6" t="inlineStr">
        <is>
          <t>0x36B0</t>
        </is>
      </c>
      <c r="B7" s="6" t="inlineStr">
        <is>
          <t>0x36D7</t>
        </is>
      </c>
      <c r="C7" s="7" t="n">
        <v>40</v>
      </c>
      <c r="D7" s="6" t="n">
        <v>3500</v>
      </c>
      <c r="E7" s="6" t="n">
        <v>3509</v>
      </c>
      <c r="F7" s="6" t="inlineStr">
        <is>
          <t>B2[10]</t>
        </is>
      </c>
      <c r="G7" s="6" t="inlineStr">
        <is>
          <t>INT32</t>
        </is>
      </c>
      <c r="H7" s="6" t="inlineStr">
        <is>
          <t>Boot load 1 lan</t>
        </is>
      </c>
      <c r="I7" s="6" t="inlineStr">
        <is>
          <t>Bias lop FC2</t>
        </is>
      </c>
    </row>
    <row r="8">
      <c r="A8" s="2" t="inlineStr">
        <is>
          <t>0x36D8</t>
        </is>
      </c>
      <c r="B8" s="2" t="inlineStr">
        <is>
          <t>0x3717</t>
        </is>
      </c>
      <c r="C8" s="3" t="n">
        <v>64</v>
      </c>
      <c r="D8" s="2" t="n">
        <v>3510</v>
      </c>
      <c r="E8" s="2" t="n">
        <v>3525</v>
      </c>
      <c r="F8" s="2" t="inlineStr">
        <is>
          <t>Acc1[16]</t>
        </is>
      </c>
      <c r="G8" s="2" t="inlineStr">
        <is>
          <t>INT32</t>
        </is>
      </c>
      <c r="H8" s="2" t="inlineStr">
        <is>
          <t>RTL ghi / MCU doc</t>
        </is>
      </c>
      <c r="I8" s="2" t="inlineStr">
        <is>
          <t>Ket qua FC1 - MCU tinh ReLU ghi de Hidden</t>
        </is>
      </c>
    </row>
    <row r="9">
      <c r="A9" s="4" t="inlineStr">
        <is>
          <t>0x3718</t>
        </is>
      </c>
      <c r="B9" s="4" t="inlineStr">
        <is>
          <t>0x3727</t>
        </is>
      </c>
      <c r="C9" s="5" t="n">
        <v>16</v>
      </c>
      <c r="D9" s="4" t="n">
        <v>3526</v>
      </c>
      <c r="E9" s="4" t="n">
        <v>3529</v>
      </c>
      <c r="F9" s="4" t="inlineStr">
        <is>
          <t>Hidden[16]</t>
        </is>
      </c>
      <c r="G9" s="4" t="inlineStr">
        <is>
          <t>INT8</t>
        </is>
      </c>
      <c r="H9" s="4" t="inlineStr">
        <is>
          <t>MCU ghi / RTL doc</t>
        </is>
      </c>
      <c r="I9" s="4" t="inlineStr">
        <is>
          <t>Sau ReLU+Requantize - RTL dung cho FC2</t>
        </is>
      </c>
    </row>
    <row r="10">
      <c r="A10" s="2" t="inlineStr">
        <is>
          <t>0x3728</t>
        </is>
      </c>
      <c r="B10" s="2" t="inlineStr">
        <is>
          <t>0x374F</t>
        </is>
      </c>
      <c r="C10" s="3" t="n">
        <v>40</v>
      </c>
      <c r="D10" s="2" t="n">
        <v>3530</v>
      </c>
      <c r="E10" s="2" t="n">
        <v>3539</v>
      </c>
      <c r="F10" s="2" t="inlineStr">
        <is>
          <t>Logit[10]</t>
        </is>
      </c>
      <c r="G10" s="2" t="inlineStr">
        <is>
          <t>INT32</t>
        </is>
      </c>
      <c r="H10" s="2" t="inlineStr">
        <is>
          <t>RTL ghi / MCU doc</t>
        </is>
      </c>
      <c r="I10" s="2" t="inlineStr">
        <is>
          <t>Ket qua FC2 - MCU tinh Argmax</t>
        </is>
      </c>
    </row>
    <row r="11">
      <c r="A11" s="4" t="inlineStr">
        <is>
          <t>0x3750</t>
        </is>
      </c>
      <c r="B11" s="4" t="inlineStr">
        <is>
          <t>0x3759</t>
        </is>
      </c>
      <c r="C11" s="5" t="n">
        <v>10</v>
      </c>
      <c r="D11" s="4" t="n">
        <v>3540</v>
      </c>
      <c r="E11" s="4" t="n">
        <v>3542</v>
      </c>
      <c r="F11" s="4" t="inlineStr">
        <is>
          <t>Digit Result</t>
        </is>
      </c>
      <c r="G11" s="4" t="inlineStr">
        <is>
          <t>UINT8</t>
        </is>
      </c>
      <c r="H11" s="4" t="inlineStr">
        <is>
          <t>MCU ghi / RTL doc</t>
        </is>
      </c>
      <c r="I11" s="4" t="inlineStr">
        <is>
          <t>Ket qua nhan dien chu so 0-9 (10 byte)</t>
        </is>
      </c>
    </row>
    <row r="12">
      <c r="A12" s="8" t="inlineStr">
        <is>
          <t>0x375A</t>
        </is>
      </c>
      <c r="B12" s="8" t="inlineStr">
        <is>
          <t>0x47FF</t>
        </is>
      </c>
      <c r="C12" s="9" t="n">
        <v>4262</v>
      </c>
      <c r="D12" s="8" t="n">
        <v>3542</v>
      </c>
      <c r="E12" s="8" t="n">
        <v>4607</v>
      </c>
      <c r="F12" s="8" t="inlineStr">
        <is>
          <t>RESERVED</t>
        </is>
      </c>
      <c r="G12" s="8" t="inlineStr">
        <is>
          <t>-</t>
        </is>
      </c>
      <c r="H12" s="8" t="inlineStr">
        <is>
          <t>-</t>
        </is>
      </c>
      <c r="I12" s="8" t="inlineStr">
        <is>
          <t>Du phong den het quy 18 KB</t>
        </is>
      </c>
    </row>
    <row r="14">
      <c r="A14" s="10" t="inlineStr">
        <is>
          <t>TONG SU DUNG</t>
        </is>
      </c>
      <c r="C14" s="11">
        <f>SUMIF(F2:F12,"&lt;&gt;RESERVED",C2:C12)</f>
        <v/>
      </c>
      <c r="I14">
        <f>TEXT(C14,"#,##0")&amp;" B / "&amp;TEXT(18432,"#,##0")&amp;" B ("&amp;TEXT(C14/18432,"0.0%")&amp;")"</f>
        <v/>
      </c>
    </row>
    <row r="15">
      <c r="A15" s="10" t="inlineStr">
        <is>
          <t>RESERVED</t>
        </is>
      </c>
      <c r="C15" s="11">
        <f>SUMIF(F2:F12,"RESERVED",C2:C12)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62" customWidth="1" min="3" max="3"/>
  </cols>
  <sheetData>
    <row r="1">
      <c r="A1" s="12" t="inlineStr">
        <is>
          <t>Muc</t>
        </is>
      </c>
      <c r="B1" s="12" t="inlineStr">
        <is>
          <t>Gia tri</t>
        </is>
      </c>
      <c r="C1" s="12" t="inlineStr">
        <is>
          <t>Ghi chu</t>
        </is>
      </c>
    </row>
    <row r="2">
      <c r="A2" s="13" t="inlineStr">
        <is>
          <t>Tong BSRAM chip (GW1NSR-4C)</t>
        </is>
      </c>
      <c r="B2" s="14" t="inlineStr">
        <is>
          <t>180 Kbit = 10 khoi x 18 Kbit</t>
        </is>
      </c>
      <c r="C2" s="13" t="inlineStr">
        <is>
          <t>Theo spec chip</t>
        </is>
      </c>
    </row>
    <row r="3">
      <c r="A3" s="13" t="inlineStr">
        <is>
          <t>Du lieu dung duoc / khoi</t>
        </is>
      </c>
      <c r="B3" s="14" t="inlineStr">
        <is>
          <t>2.048 B (512 word x 32 bit)</t>
        </is>
      </c>
      <c r="C3" s="13" t="inlineStr">
        <is>
          <t>Bo bit parity</t>
        </is>
      </c>
    </row>
    <row r="4">
      <c r="A4" s="13" t="inlineStr">
        <is>
          <t>Tong du lieu dung duoc</t>
        </is>
      </c>
      <c r="B4" s="14" t="n">
        <v>20480</v>
      </c>
      <c r="C4" s="13" t="inlineStr">
        <is>
          <t>10 khoi</t>
        </is>
      </c>
    </row>
    <row r="5">
      <c r="A5" s="13" t="inlineStr">
        <is>
          <t>MCU SRAM (cau hinh 2 KB)</t>
        </is>
      </c>
      <c r="B5" s="14" t="n">
        <v>2048</v>
      </c>
      <c r="C5" s="13" t="inlineStr">
        <is>
          <t>1 khoi (synthesis: top = 1 BSRAM)</t>
        </is>
      </c>
    </row>
    <row r="6">
      <c r="A6" s="13" t="inlineStr">
        <is>
          <t>Quy cho FPGA</t>
        </is>
      </c>
      <c r="B6" s="14" t="n">
        <v>18432</v>
      </c>
      <c r="C6" s="13" t="inlineStr">
        <is>
          <t>9 khoi = 18 KB, xem la 1 dai dia chi lien tuc 0x0000 - 0x47FF</t>
        </is>
      </c>
    </row>
    <row r="7">
      <c r="A7" s="13" t="inlineStr">
        <is>
          <t>Dang chiem: Band Buffer</t>
        </is>
      </c>
      <c r="B7" s="14" t="n">
        <v>448</v>
      </c>
      <c r="C7" s="13" t="inlineStr">
        <is>
          <t>112 word</t>
        </is>
      </c>
    </row>
    <row r="8">
      <c r="A8" s="13" t="inlineStr">
        <is>
          <t>Dang chiem: image[784]</t>
        </is>
      </c>
      <c r="B8" s="14" t="n">
        <v>784</v>
      </c>
      <c r="C8" s="13" t="inlineStr">
        <is>
          <t>196 word</t>
        </is>
      </c>
    </row>
    <row r="9">
      <c r="A9" s="13" t="inlineStr">
        <is>
          <t>Weights/bias/ket qua con lai</t>
        </is>
      </c>
      <c r="B9" s="14" t="n">
        <v>12938</v>
      </c>
      <c r="C9" s="13" t="inlineStr">
        <is>
          <t>W1 + B1 + W2 + B2 + Acc1 + Hidden + Logit + Digit</t>
        </is>
      </c>
    </row>
    <row r="10">
      <c r="A10" s="13" t="inlineStr">
        <is>
          <t>Tong su dung</t>
        </is>
      </c>
      <c r="B10" s="14" t="n">
        <v>14170</v>
      </c>
      <c r="C10" s="13" t="inlineStr"/>
    </row>
    <row r="11">
      <c r="A11" s="13" t="inlineStr">
        <is>
          <t>Con trong (RESERVED)</t>
        </is>
      </c>
      <c r="B11" s="14" t="n">
        <v>4262</v>
      </c>
      <c r="C11" s="13" t="inlineStr">
        <is>
          <t>0x375A - 0x47FF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5" t="inlineStr">
        <is>
          <t>Ghi chu</t>
        </is>
      </c>
    </row>
    <row r="2">
      <c r="A2" s="16" t="inlineStr">
        <is>
          <t>Dia chi la dia chi logic trong SRAM FPGA, 1 dai lien tuc bat dau tu 0 (0x0000 - 0x47FF = 18 KB). Khong phan biet khoi vat ly.</t>
        </is>
      </c>
    </row>
    <row r="3">
      <c r="A3" s="16" t="inlineStr">
        <is>
          <t>Thu tu giu nhu SRAM_Memory_Map.xlsx cu; chi doi Gray Pixel Buffer 16 B thanh Band Buffer 4x112 (448 B).</t>
        </is>
      </c>
    </row>
    <row r="4">
      <c r="A4" s="16" t="inlineStr">
        <is>
          <t>Moi vung du lieu bat dau o bien word 32 bit (chia het cho 4); Digit Result 10 B nen RESERVED bat dau 0x375A (khong can word). Word Start/End = chi so word chua byte dau/cuoi.</t>
        </is>
      </c>
    </row>
    <row r="5">
      <c r="A5" s="16" t="inlineStr">
        <is>
          <t>RTL HIEN TAI (ahb_band_buf.v) CHUA KHOP bang nay: band @AHB 0x000, image @AHB 0x400, thanh ghi @0x800, hai RAM tach rieng.</t>
        </is>
      </c>
    </row>
    <row r="6">
      <c r="A6" s="16" t="inlineStr">
        <is>
          <t>Can sua RTL (1 dai dia chi lien tuc theo bang nay) truoc khi them W1 va cac vung con lai.</t>
        </is>
      </c>
    </row>
    <row r="7">
      <c r="A7" s="16" t="inlineStr">
        <is>
          <t>Luu y: RAM chi co 1 cong ghi (SDPB). Vung co nhieu nguon ghi (camera, MCU, RTL MAC) can phan xu hoac dung dual-port.</t>
        </is>
      </c>
    </row>
    <row r="8">
      <c r="A8" s="16" t="inlineStr">
        <is>
          <t>Chua kiem chung: dung luong 2 KB du lieu / khoi BSRAM va ket qua tong hop thuc te cua Gowin (can synthesize lai).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2026-10-04T14:06:37Z</dcterms:created>
  <dcterms:modified xmlns:dcterms="http://purl.org/dc/terms/" xmlns:xsi="http://www.w3.org/2001/XMLSchema-instance" xsi:type="dcterms:W3CDTF">2026-10-04T14:06:37Z</dcterms:modified>
</cp:coreProperties>
</file>